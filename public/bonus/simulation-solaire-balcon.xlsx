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mulation" sheetId="1" state="visible" r:id="rId3"/>
    <sheet name="Références" sheetId="2" state="visible" r:id="rId4"/>
    <sheet name="Mode d'empl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8" authorId="0">
      <text>
        <r>
          <rPr>
            <sz val="10"/>
            <rFont val="Arial"/>
            <family val="2"/>
          </rPr>
          <t xml:space="preserve">Le prix d'achat de votre kit (livraison incluse)</t>
        </r>
      </text>
    </comment>
    <comment ref="C9" authorId="0">
      <text>
        <r>
          <rPr>
            <sz val="10"/>
            <rFont val="Arial"/>
            <family val="2"/>
          </rPr>
          <t xml:space="preserve">Puissance crête, indiquée sur la fiche produit</t>
        </r>
      </text>
    </comment>
    <comment ref="C10" authorId="0">
      <text>
        <r>
          <rPr>
            <sz val="10"/>
            <rFont val="Arial"/>
            <family val="2"/>
          </rPr>
          <t xml:space="preserve">Lyon: 1200, Paris: 1050, Marseille: 1450, Bordeaux: 1300, Lille: 1000. Source: PVGIS</t>
        </r>
      </text>
    </comment>
    <comment ref="C11" authorId="0">
      <text>
        <r>
          <rPr>
            <sz val="10"/>
            <rFont val="Arial"/>
            <family val="2"/>
          </rPr>
          <t xml:space="preserve">Sud: 1.0, SE/SO: 0.95, E/O: 0.80, NE/NO: 0.65, Nord: 0.50</t>
        </r>
      </text>
    </comment>
    <comment ref="C12" authorId="0">
      <text>
        <r>
          <rPr>
            <sz val="10"/>
            <rFont val="Arial"/>
            <family val="2"/>
          </rPr>
          <t xml:space="preserve">Standard PVGIS pour installation neuve (0.75-0.85)</t>
        </r>
      </text>
    </comment>
    <comment ref="C13" authorId="0">
      <text>
        <r>
          <rPr>
            <sz val="10"/>
            <rFont val="Arial"/>
            <family val="2"/>
          </rPr>
          <t xml:space="preserve">Présent journée: 0.90, Mixte: 0.75, Absent: 0.55</t>
        </r>
      </text>
    </comment>
    <comment ref="C14" authorId="0">
      <text>
        <r>
          <rPr>
            <sz val="10"/>
            <rFont val="Arial"/>
            <family val="2"/>
          </rPr>
          <t xml:space="preserve">Si batterie: l'autoconsommation effective est plafonnée à 0.95</t>
        </r>
      </text>
    </comment>
    <comment ref="C15" authorId="0">
      <text>
        <r>
          <rPr>
            <sz val="10"/>
            <rFont val="Arial"/>
            <family val="2"/>
          </rPr>
          <t xml:space="preserve">Tarif réglementé EDF option Base, mai 2026 (CRE)</t>
        </r>
      </text>
    </comment>
    <comment ref="C16" authorId="0">
      <text>
        <r>
          <rPr>
            <sz val="10"/>
            <rFont val="Arial"/>
            <family val="2"/>
          </rPr>
          <t xml:space="preserve">3.3% = moyenne historique CRE 2012-2026. Mettre 0 pour mode prudent.</t>
        </r>
      </text>
    </comment>
    <comment ref="C17" authorId="0">
      <text>
        <r>
          <rPr>
            <sz val="10"/>
            <rFont val="Arial"/>
            <family val="2"/>
          </rPr>
          <t xml:space="preserve">Garantie panneau standard</t>
        </r>
      </text>
    </comment>
  </commentList>
</comments>
</file>

<file path=xl/sharedStrings.xml><?xml version="1.0" encoding="utf-8"?>
<sst xmlns="http://schemas.openxmlformats.org/spreadsheetml/2006/main" count="156" uniqueCount="150">
  <si>
    <t xml:space="preserve">Simulateur ROI solaire balcon</t>
  </si>
  <si>
    <t xml:space="preserve">Modifiez les cellules bleues — les calculs se mettent à jour automatiquement</t>
  </si>
  <si>
    <t xml:space="preserve">MonBalconSolaire · Bonus exclusif</t>
  </si>
  <si>
    <t xml:space="preserve">1. Vos hypothèses</t>
  </si>
  <si>
    <t xml:space="preserve">2. Vos résultats</t>
  </si>
  <si>
    <t xml:space="preserve">Paramètre</t>
  </si>
  <si>
    <t xml:space="preserve">Valeur</t>
  </si>
  <si>
    <t xml:space="preserve">Unité</t>
  </si>
  <si>
    <t xml:space="preserve">Indicateur</t>
  </si>
  <si>
    <t xml:space="preserve">Prix du kit (€)</t>
  </si>
  <si>
    <t xml:space="preserve">€</t>
  </si>
  <si>
    <t xml:space="preserve">Taux d'autoconso effectif</t>
  </si>
  <si>
    <t xml:space="preserve">Puissance du kit (Wc)</t>
  </si>
  <si>
    <t xml:space="preserve">Wc</t>
  </si>
  <si>
    <t xml:space="preserve">Production brute annuelle</t>
  </si>
  <si>
    <t xml:space="preserve">Productible PVGIS de votre ville (kWh/kWc/an)</t>
  </si>
  <si>
    <t xml:space="preserve">kWh/kWc/an</t>
  </si>
  <si>
    <t xml:space="preserve">Production nette annuelle</t>
  </si>
  <si>
    <t xml:space="preserve">Coefficient d'orientation</t>
  </si>
  <si>
    <t xml:space="preserve">Production utilisée (autoconsommée)</t>
  </si>
  <si>
    <t xml:space="preserve">Performance Ratio (pertes système)</t>
  </si>
  <si>
    <t xml:space="preserve">Économie année 1</t>
  </si>
  <si>
    <t xml:space="preserve">Taux d'autoconsommation</t>
  </si>
  <si>
    <t xml:space="preserve">Économie cumulée sur 25 ans</t>
  </si>
  <si>
    <t xml:space="preserve">A une batterie ? (1=oui, 0=non)</t>
  </si>
  <si>
    <t xml:space="preserve">ROI estimé</t>
  </si>
  <si>
    <t xml:space="preserve">Prix du kWh actuel (€)</t>
  </si>
  <si>
    <t xml:space="preserve">€/kWh</t>
  </si>
  <si>
    <t xml:space="preserve">Bénéfice net sur 25 ans</t>
  </si>
  <si>
    <t xml:space="preserve">Inflation annuelle du kWh</t>
  </si>
  <si>
    <t xml:space="preserve">Durée d'analyse (années)</t>
  </si>
  <si>
    <t xml:space="preserve">ans</t>
  </si>
  <si>
    <t xml:space="preserve">VERDICT</t>
  </si>
  <si>
    <t xml:space="preserve">ROI personnalisé</t>
  </si>
  <si>
    <t xml:space="preserve">Évaluation</t>
  </si>
  <si>
    <t xml:space="preserve">3. Détail année par année</t>
  </si>
  <si>
    <t xml:space="preserve">Année</t>
  </si>
  <si>
    <t xml:space="preserve">Prix kWh</t>
  </si>
  <si>
    <t xml:space="preserve">Économie année</t>
  </si>
  <si>
    <t xml:space="preserve">Économie cumulée</t>
  </si>
  <si>
    <t xml:space="preserve">Status</t>
  </si>
  <si>
    <t xml:space="preserve">Références pour vos calculs</t>
  </si>
  <si>
    <t xml:space="preserve">Toutes les valeurs sont sourcées et utilisables dans la feuille Simulation</t>
  </si>
  <si>
    <t xml:space="preserve">Productible PVGIS par ville</t>
  </si>
  <si>
    <t xml:space="preserve">Coefficients d'orientation</t>
  </si>
  <si>
    <t xml:space="preserve">Ville</t>
  </si>
  <si>
    <t xml:space="preserve">Productible (kWh/kWc/an)</t>
  </si>
  <si>
    <t xml:space="preserve">Orientation</t>
  </si>
  <si>
    <t xml:space="preserve">Coefficient</t>
  </si>
  <si>
    <t xml:space="preserve">Marseille</t>
  </si>
  <si>
    <t xml:space="preserve">Sud</t>
  </si>
  <si>
    <t xml:space="preserve">Toulouse</t>
  </si>
  <si>
    <t xml:space="preserve">Sud-Est</t>
  </si>
  <si>
    <t xml:space="preserve">Montpellier</t>
  </si>
  <si>
    <t xml:space="preserve">Sud-Ouest</t>
  </si>
  <si>
    <t xml:space="preserve">Nice</t>
  </si>
  <si>
    <t xml:space="preserve">Est</t>
  </si>
  <si>
    <t xml:space="preserve">Bordeaux</t>
  </si>
  <si>
    <t xml:space="preserve">Ouest</t>
  </si>
  <si>
    <t xml:space="preserve">Lyon</t>
  </si>
  <si>
    <t xml:space="preserve">Nord-Est</t>
  </si>
  <si>
    <t xml:space="preserve">Nantes</t>
  </si>
  <si>
    <t xml:space="preserve">Nord-Ouest</t>
  </si>
  <si>
    <t xml:space="preserve">Rennes</t>
  </si>
  <si>
    <t xml:space="preserve">Nord</t>
  </si>
  <si>
    <t xml:space="preserve">Strasbourg</t>
  </si>
  <si>
    <t xml:space="preserve">Paris</t>
  </si>
  <si>
    <t xml:space="preserve">Reims</t>
  </si>
  <si>
    <t xml:space="preserve">Lille</t>
  </si>
  <si>
    <t xml:space="preserve">Rouen</t>
  </si>
  <si>
    <t xml:space="preserve">Brest</t>
  </si>
  <si>
    <t xml:space="preserve">Clermont-Ferrand</t>
  </si>
  <si>
    <t xml:space="preserve">Dijon</t>
  </si>
  <si>
    <t xml:space="preserve">Source : PVGIS Commission Européenne</t>
  </si>
  <si>
    <t xml:space="preserve">Taux d'autoconsommation typiques</t>
  </si>
  <si>
    <t xml:space="preserve">Profil</t>
  </si>
  <si>
    <t xml:space="preserve">Taux</t>
  </si>
  <si>
    <t xml:space="preserve">Description</t>
  </si>
  <si>
    <t xml:space="preserve">Présent journée</t>
  </si>
  <si>
    <t xml:space="preserve">Télétravail, retraité actif, parent au foyer</t>
  </si>
  <si>
    <t xml:space="preserve">Mixte</t>
  </si>
  <si>
    <t xml:space="preserve">Télétravail 2-3 jours/semaine</t>
  </si>
  <si>
    <t xml:space="preserve">Absent semaine</t>
  </si>
  <si>
    <t xml:space="preserve">Couple actif, enfants à l'école, pas de télétravail</t>
  </si>
  <si>
    <t xml:space="preserve">Avec batterie</t>
  </si>
  <si>
    <t xml:space="preserve">Quelle que soit la présence (stockage du surplus)</t>
  </si>
  <si>
    <t xml:space="preserve">Catalogue des kits analysés</t>
  </si>
  <si>
    <t xml:space="preserve">Kit</t>
  </si>
  <si>
    <t xml:space="preserve">Prix</t>
  </si>
  <si>
    <t xml:space="preserve">Puissance</t>
  </si>
  <si>
    <t xml:space="preserve">Batterie</t>
  </si>
  <si>
    <t xml:space="preserve">Notes</t>
  </si>
  <si>
    <t xml:space="preserve">Beem Kit 300W</t>
  </si>
  <si>
    <t xml:space="preserve">Non</t>
  </si>
  <si>
    <t xml:space="preserve">Le meilleur prix d'entrée</t>
  </si>
  <si>
    <t xml:space="preserve">Sunology PLAY 2</t>
  </si>
  <si>
    <t xml:space="preserve">Le meilleur rapport qualité/prix</t>
  </si>
  <si>
    <t xml:space="preserve">Beem On 460W</t>
  </si>
  <si>
    <t xml:space="preserve">Concurrent direct PLAY 2</t>
  </si>
  <si>
    <t xml:space="preserve">Sunethic F500</t>
  </si>
  <si>
    <t xml:space="preserve">Made in France premium</t>
  </si>
  <si>
    <t xml:space="preserve">Sunology PLAY MAX</t>
  </si>
  <si>
    <t xml:space="preserve">Oui (700 Wh)</t>
  </si>
  <si>
    <t xml:space="preserve">Avec stockage soir</t>
  </si>
  <si>
    <t xml:space="preserve">Zendure SolarFlow</t>
  </si>
  <si>
    <t xml:space="preserve">Oui</t>
  </si>
  <si>
    <t xml:space="preserve">Meilleur ROI avec batterie</t>
  </si>
  <si>
    <t xml:space="preserve">EcoFlow PowerStream</t>
  </si>
  <si>
    <t xml:space="preserve">Pour écosystème EcoFlow</t>
  </si>
  <si>
    <t xml:space="preserve">DualSun PREASY</t>
  </si>
  <si>
    <t xml:space="preserve">100% français premium</t>
  </si>
  <si>
    <t xml:space="preserve">Mode d'emploi</t>
  </si>
  <si>
    <t xml:space="preserve">Comment utiliser ce simulateur ROI solaire balcon</t>
  </si>
  <si>
    <t xml:space="preserve">1. Modifiez les cellules bleues</t>
  </si>
  <si>
    <t xml:space="preserve">• Allez dans l'onglet « Simulation ».</t>
  </si>
  <si>
    <t xml:space="preserve">• Toutes les cellules sur fond orange clair avec une bordure orange sont des cellules de saisie.</t>
  </si>
  <si>
    <t xml:space="preserve">• Le reste se calcule automatiquement.</t>
  </si>
  <si>
    <t xml:space="preserve">2. Renseignez votre kit</t>
  </si>
  <si>
    <t xml:space="preserve">• Prix du kit : prix payé (livraison incluse).</t>
  </si>
  <si>
    <t xml:space="preserve">• Puissance : indiquée sur la fiche produit en Wc.</t>
  </si>
  <si>
    <t xml:space="preserve">• Si vous hésitez sur un kit, voir l'onglet « Références » pour le catalogue.</t>
  </si>
  <si>
    <t xml:space="preserve">3. Renseignez votre situation</t>
  </si>
  <si>
    <t xml:space="preserve">• Productible : trouvez votre ville dans l'onglet « Références » et copiez la valeur.</t>
  </si>
  <si>
    <t xml:space="preserve">• Coefficient d'orientation : Sud = 1.0, voir le tableau dans « Références ».</t>
  </si>
  <si>
    <t xml:space="preserve">• Taux d'autoconsommation : selon votre présence en journée (voir tableau).</t>
  </si>
  <si>
    <t xml:space="preserve">• Si vous avez une batterie, mettez 1 dans la cellule batterie.</t>
  </si>
  <si>
    <t xml:space="preserve">4. Ajustez les hypothèses économiques</t>
  </si>
  <si>
    <t xml:space="preserve">• Prix du kWh : 0,1940 € est le tarif réglementé EDF en mai 2026. Si vous êtes chez un fournisseur alternatif, mettez votre prix réel.</t>
  </si>
  <si>
    <t xml:space="preserve">• Inflation : 3,3% est la moyenne historique 2012-2026. Mettez 0 pour un calcul prudent (mode pessimiste).</t>
  </si>
  <si>
    <t xml:space="preserve">• Durée d'analyse : 25 ans par défaut (garantie panneau standard).</t>
  </si>
  <si>
    <t xml:space="preserve">5. Interprétez les résultats</t>
  </si>
  <si>
    <t xml:space="preserve">• ROI &lt; 6 ans : excellent — votre kit s'amortit rapidement.</t>
  </si>
  <si>
    <t xml:space="preserve">• ROI 6 à 10 ans : rentable — situation classique pour le solaire balcon.</t>
  </si>
  <si>
    <t xml:space="preserve">• ROI 10 à 15 ans : long terme — à considérer selon votre durée de vie dans le logement.</t>
  </si>
  <si>
    <t xml:space="preserve">• ROI &gt; 15 ans : non recommandé pour la rentabilité pure (mais peut faire sens pour d'autres raisons).</t>
  </si>
  <si>
    <t xml:space="preserve">6. Testez plusieurs scénarios</t>
  </si>
  <si>
    <t xml:space="preserve">• Modifiez le taux d'autoconsommation entre 0,55 et 0,90 pour voir l'impact de votre présence.</t>
  </si>
  <si>
    <t xml:space="preserve">• Mettez l'inflation à 0 pour voir le ROI dans un scénario pessimiste.</t>
  </si>
  <si>
    <t xml:space="preserve">• Changez de kit pour comparer plusieurs options.</t>
  </si>
  <si>
    <t xml:space="preserve">• Le tableau année par année (en bas) montre exactement quand votre kit sera amorti.</t>
  </si>
  <si>
    <t xml:space="preserve">Sources et méthodologie</t>
  </si>
  <si>
    <t xml:space="preserve">• Productible : PVGIS (Commission Européenne)</t>
  </si>
  <si>
    <t xml:space="preserve">• Prix kWh : Commission de Régulation de l'Énergie (CRE), mai 2026</t>
  </si>
  <si>
    <t xml:space="preserve">• Inflation historique : moyenne CRE 2012-2026</t>
  </si>
  <si>
    <t xml:space="preserve">• Performance Ratio : standard PVGIS (0,75-0,85)</t>
  </si>
  <si>
    <t xml:space="preserve">• Pour le détail complet : https://monbalconsolaire.fr/methodologie</t>
  </si>
  <si>
    <t xml:space="preserve">Questions ?</t>
  </si>
  <si>
    <t xml:space="preserve">• Une erreur dans les calculs ? Un cas particulier non couvert ?</t>
  </si>
  <si>
    <t xml:space="preserve">• Écrivez à contact@monbalconsolaire.fr — je réponds sous 48h.</t>
  </si>
  <si>
    <t xml:space="preserve">• — Guillaume, MonBalconSolaire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</si>
</sst>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&quot; €&quot;"/>
    <numFmt numFmtId="166" formatCode="0.0%"/>
    <numFmt numFmtId="167" formatCode="#,##0"/>
    <numFmt numFmtId="168" formatCode="#,##0&quot; kWh&quot;"/>
    <numFmt numFmtId="169" formatCode="0.00"/>
    <numFmt numFmtId="170" formatCode="#,##0&quot; €&quot;"/>
    <numFmt numFmtId="171" formatCode="0.0"/>
    <numFmt numFmtId="172" formatCode="0.0000&quot; €&quot;"/>
    <numFmt numFmtId="173" formatCode="0"/>
    <numFmt numFmtId="174" formatCode="#,##0&quot; Wc&quot;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2937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i val="true"/>
      <sz val="9"/>
      <color rgb="FFF59E0B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1F2937"/>
      <name val="Arial"/>
      <family val="0"/>
      <charset val="1"/>
    </font>
    <font>
      <b val="true"/>
      <sz val="22"/>
      <color rgb="FFF59E0B"/>
      <name val="Arial"/>
      <family val="0"/>
      <charset val="1"/>
    </font>
    <font>
      <b val="true"/>
      <sz val="14"/>
      <color rgb="FF1F2937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sz val="10"/>
      <name val="Arial"/>
      <family val="2"/>
    </font>
    <font>
      <b val="true"/>
      <sz val="18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20"/>
      <color rgb="FF1F2937"/>
      <name val="Arial"/>
      <family val="0"/>
      <charset val="1"/>
    </font>
    <font>
      <b val="true"/>
      <sz val="14"/>
      <color rgb="FFF59E0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59E0B"/>
        <bgColor rgb="FFFFCC00"/>
      </patternFill>
    </fill>
    <fill>
      <patternFill patternType="solid">
        <fgColor rgb="FFF3F4F6"/>
        <bgColor rgb="FFFAFAFA"/>
      </patternFill>
    </fill>
    <fill>
      <patternFill patternType="solid">
        <fgColor rgb="FFFEF3C7"/>
        <bgColor rgb="FFF3F4F6"/>
      </patternFill>
    </fill>
    <fill>
      <patternFill patternType="solid">
        <fgColor rgb="FFFAFAFA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B7280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5"/>
    <col collapsed="false" customWidth="true" hidden="false" outlineLevel="0" max="5" min="3" style="0" width="18"/>
    <col collapsed="false" customWidth="true" hidden="false" outlineLevel="0" max="6" min="6" style="0" width="4"/>
    <col collapsed="false" customWidth="true" hidden="false" outlineLevel="0" max="7" min="7" style="0" width="35"/>
    <col collapsed="false" customWidth="true" hidden="false" outlineLevel="0" max="11" min="8" style="0" width="18"/>
  </cols>
  <sheetData>
    <row r="2" customFormat="false" ht="26.8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B4" s="3" t="s">
        <v>2</v>
      </c>
      <c r="C4" s="3"/>
      <c r="D4" s="3"/>
      <c r="E4" s="3"/>
      <c r="F4" s="3"/>
      <c r="G4" s="3"/>
      <c r="H4" s="3"/>
    </row>
    <row r="6" customFormat="false" ht="27.75" hidden="false" customHeight="true" outlineLevel="0" collapsed="false">
      <c r="B6" s="4" t="s">
        <v>3</v>
      </c>
      <c r="C6" s="4"/>
      <c r="D6" s="4"/>
      <c r="G6" s="5" t="s">
        <v>4</v>
      </c>
      <c r="H6" s="5"/>
    </row>
    <row r="7" customFormat="false" ht="21.75" hidden="false" customHeight="true" outlineLevel="0" collapsed="false">
      <c r="B7" s="6" t="s">
        <v>5</v>
      </c>
      <c r="C7" s="6" t="s">
        <v>6</v>
      </c>
      <c r="D7" s="6" t="s">
        <v>7</v>
      </c>
      <c r="G7" s="6" t="s">
        <v>8</v>
      </c>
      <c r="H7" s="6" t="s">
        <v>6</v>
      </c>
    </row>
    <row r="8" customFormat="false" ht="21.75" hidden="false" customHeight="true" outlineLevel="0" collapsed="false">
      <c r="B8" s="7" t="s">
        <v>9</v>
      </c>
      <c r="C8" s="8" t="n">
        <v>599</v>
      </c>
      <c r="D8" s="9" t="s">
        <v>10</v>
      </c>
      <c r="G8" s="7" t="s">
        <v>11</v>
      </c>
      <c r="H8" s="10" t="n">
        <f aca="false">IF($C$14=1,MAX($C$13,0.95),$C$13)</f>
        <v>0.85</v>
      </c>
    </row>
    <row r="9" customFormat="false" ht="21.75" hidden="false" customHeight="true" outlineLevel="0" collapsed="false">
      <c r="B9" s="7" t="s">
        <v>12</v>
      </c>
      <c r="C9" s="11" t="n">
        <v>450</v>
      </c>
      <c r="D9" s="9" t="s">
        <v>13</v>
      </c>
      <c r="G9" s="7" t="s">
        <v>14</v>
      </c>
      <c r="H9" s="12" t="n">
        <f aca="false">($C$9/1000)*$C$10*$C$11</f>
        <v>540</v>
      </c>
    </row>
    <row r="10" customFormat="false" ht="21.75" hidden="false" customHeight="true" outlineLevel="0" collapsed="false">
      <c r="B10" s="7" t="s">
        <v>15</v>
      </c>
      <c r="C10" s="11" t="n">
        <v>1200</v>
      </c>
      <c r="D10" s="9" t="s">
        <v>16</v>
      </c>
      <c r="G10" s="7" t="s">
        <v>17</v>
      </c>
      <c r="H10" s="12" t="n">
        <f aca="false">H9*$C$12</f>
        <v>459</v>
      </c>
    </row>
    <row r="11" customFormat="false" ht="21.75" hidden="false" customHeight="true" outlineLevel="0" collapsed="false">
      <c r="B11" s="7" t="s">
        <v>18</v>
      </c>
      <c r="C11" s="13" t="n">
        <v>1</v>
      </c>
      <c r="D11" s="9"/>
      <c r="G11" s="7" t="s">
        <v>19</v>
      </c>
      <c r="H11" s="12" t="n">
        <f aca="false">H10*H8</f>
        <v>390.15</v>
      </c>
    </row>
    <row r="12" customFormat="false" ht="21.75" hidden="false" customHeight="true" outlineLevel="0" collapsed="false">
      <c r="B12" s="7" t="s">
        <v>20</v>
      </c>
      <c r="C12" s="14" t="n">
        <v>0.85</v>
      </c>
      <c r="D12" s="9"/>
      <c r="G12" s="7" t="s">
        <v>21</v>
      </c>
      <c r="H12" s="15" t="n">
        <f aca="false">H11*$C$15</f>
        <v>75.6891</v>
      </c>
    </row>
    <row r="13" customFormat="false" ht="21.75" hidden="false" customHeight="true" outlineLevel="0" collapsed="false">
      <c r="B13" s="7" t="s">
        <v>22</v>
      </c>
      <c r="C13" s="14" t="n">
        <v>0.85</v>
      </c>
      <c r="D13" s="9"/>
      <c r="G13" s="7" t="s">
        <v>23</v>
      </c>
      <c r="H13" s="15" t="n">
        <f aca="false">E51</f>
        <v>2870.88089074771</v>
      </c>
    </row>
    <row r="14" customFormat="false" ht="21.75" hidden="false" customHeight="true" outlineLevel="0" collapsed="false">
      <c r="B14" s="7" t="s">
        <v>24</v>
      </c>
      <c r="C14" s="13" t="n">
        <v>0</v>
      </c>
      <c r="D14" s="9"/>
      <c r="G14" s="7" t="s">
        <v>25</v>
      </c>
      <c r="H14" s="16" t="n">
        <f aca="false">IFERROR(SUMPRODUCT(--(E27:E51&lt;$C$8))+(($C$8-INDEX(E27:E51,SUMPRODUCT(--(E27:E51&lt;$C$8))))/INDEX(D27:D51,SUMPRODUCT(--(E27:E51&lt;$C$8))+1)),"&gt;25")</f>
        <v>7.14464607573552</v>
      </c>
    </row>
    <row r="15" customFormat="false" ht="21.75" hidden="false" customHeight="true" outlineLevel="0" collapsed="false">
      <c r="B15" s="7" t="s">
        <v>26</v>
      </c>
      <c r="C15" s="17" t="n">
        <v>0.194</v>
      </c>
      <c r="D15" s="9" t="s">
        <v>27</v>
      </c>
      <c r="G15" s="7" t="s">
        <v>28</v>
      </c>
      <c r="H15" s="15" t="n">
        <f aca="false">H13-$C$8</f>
        <v>2271.88089074771</v>
      </c>
    </row>
    <row r="16" customFormat="false" ht="21.75" hidden="false" customHeight="true" outlineLevel="0" collapsed="false">
      <c r="B16" s="7" t="s">
        <v>29</v>
      </c>
      <c r="C16" s="14" t="n">
        <v>0.033</v>
      </c>
      <c r="D16" s="9"/>
    </row>
    <row r="17" customFormat="false" ht="21.75" hidden="false" customHeight="true" outlineLevel="0" collapsed="false">
      <c r="B17" s="7" t="s">
        <v>30</v>
      </c>
      <c r="C17" s="18" t="n">
        <v>25</v>
      </c>
      <c r="D17" s="9" t="s">
        <v>31</v>
      </c>
    </row>
    <row r="18" customFormat="false" ht="25.5" hidden="false" customHeight="true" outlineLevel="0" collapsed="false">
      <c r="G18" s="19" t="s">
        <v>32</v>
      </c>
      <c r="H18" s="19"/>
    </row>
    <row r="19" customFormat="false" ht="34.5" hidden="false" customHeight="true" outlineLevel="0" collapsed="false">
      <c r="G19" s="20" t="s">
        <v>33</v>
      </c>
      <c r="H19" s="21" t="str">
        <f aca="false">IF(ISNUMBER(H14),ROUND(H14,1)&amp;" ans","&gt; 25 ans (non rentable)")</f>
        <v>7.1 ans</v>
      </c>
    </row>
    <row r="20" customFormat="false" ht="34.5" hidden="false" customHeight="true" outlineLevel="0" collapsed="false">
      <c r="G20" s="22" t="s">
        <v>34</v>
      </c>
      <c r="H20" s="23" t="str">
        <f aca="false">IF(ISNUMBER(H14),IF(H14&lt;6,"Excellent",IF(H14&lt;10,"Rentable",IF(H14&lt;15,"Long terme","Non recommandé"))),"Non rentable")</f>
        <v>Rentable</v>
      </c>
    </row>
    <row r="23" customFormat="false" ht="27.75" hidden="false" customHeight="true" outlineLevel="0" collapsed="false">
      <c r="B23" s="4" t="s">
        <v>35</v>
      </c>
      <c r="C23" s="4"/>
      <c r="D23" s="4"/>
      <c r="E23" s="4"/>
    </row>
    <row r="25" customFormat="false" ht="21.75" hidden="false" customHeight="true" outlineLevel="0" collapsed="false">
      <c r="B25" s="24" t="s">
        <v>36</v>
      </c>
      <c r="C25" s="24" t="s">
        <v>37</v>
      </c>
      <c r="D25" s="24" t="s">
        <v>38</v>
      </c>
      <c r="E25" s="24" t="s">
        <v>39</v>
      </c>
      <c r="F25" s="24" t="s">
        <v>40</v>
      </c>
    </row>
    <row r="27" customFormat="false" ht="18" hidden="false" customHeight="true" outlineLevel="0" collapsed="false">
      <c r="B27" s="25" t="n">
        <v>1</v>
      </c>
      <c r="C27" s="26" t="n">
        <f aca="false">$C$15*(1+$C$16)^(B27-1)</f>
        <v>0.194</v>
      </c>
      <c r="D27" s="27" t="n">
        <f aca="false">$H$11*C27</f>
        <v>75.6891</v>
      </c>
      <c r="E27" s="27" t="n">
        <f aca="false">D27</f>
        <v>75.6891</v>
      </c>
      <c r="F27" s="28" t="str">
        <f aca="false">IF(E27&gt;=$C$8,"✓ Amorti","")</f>
        <v/>
      </c>
    </row>
    <row r="28" customFormat="false" ht="18" hidden="false" customHeight="true" outlineLevel="0" collapsed="false">
      <c r="B28" s="29" t="n">
        <v>2</v>
      </c>
      <c r="C28" s="30" t="n">
        <f aca="false">$C$15*(1+$C$16)^(B28-1)</f>
        <v>0.200402</v>
      </c>
      <c r="D28" s="31" t="n">
        <f aca="false">$H$11*C28</f>
        <v>78.1868403</v>
      </c>
      <c r="E28" s="31" t="n">
        <f aca="false">E27+D28</f>
        <v>153.8759403</v>
      </c>
      <c r="F28" s="32" t="str">
        <f aca="false">IF(E28&gt;=$C$8,"✓ Amorti","")</f>
        <v/>
      </c>
    </row>
    <row r="29" customFormat="false" ht="18" hidden="false" customHeight="true" outlineLevel="0" collapsed="false">
      <c r="B29" s="25" t="n">
        <v>3</v>
      </c>
      <c r="C29" s="26" t="n">
        <f aca="false">$C$15*(1+$C$16)^(B29-1)</f>
        <v>0.207015266</v>
      </c>
      <c r="D29" s="27" t="n">
        <f aca="false">$H$11*C29</f>
        <v>80.7670060299</v>
      </c>
      <c r="E29" s="27" t="n">
        <f aca="false">E28+D29</f>
        <v>234.6429463299</v>
      </c>
      <c r="F29" s="28" t="str">
        <f aca="false">IF(E29&gt;=$C$8,"✓ Amorti","")</f>
        <v/>
      </c>
    </row>
    <row r="30" customFormat="false" ht="18" hidden="false" customHeight="true" outlineLevel="0" collapsed="false">
      <c r="B30" s="29" t="n">
        <v>4</v>
      </c>
      <c r="C30" s="30" t="n">
        <f aca="false">$C$15*(1+$C$16)^(B30-1)</f>
        <v>0.213846769778</v>
      </c>
      <c r="D30" s="31" t="n">
        <f aca="false">$H$11*C30</f>
        <v>83.4323172288867</v>
      </c>
      <c r="E30" s="31" t="n">
        <f aca="false">E29+D30</f>
        <v>318.075263558787</v>
      </c>
      <c r="F30" s="32" t="str">
        <f aca="false">IF(E30&gt;=$C$8,"✓ Amorti","")</f>
        <v/>
      </c>
    </row>
    <row r="31" customFormat="false" ht="18" hidden="false" customHeight="true" outlineLevel="0" collapsed="false">
      <c r="B31" s="25" t="n">
        <v>5</v>
      </c>
      <c r="C31" s="26" t="n">
        <f aca="false">$C$15*(1+$C$16)^(B31-1)</f>
        <v>0.220903713180674</v>
      </c>
      <c r="D31" s="27" t="n">
        <f aca="false">$H$11*C31</f>
        <v>86.1855836974399</v>
      </c>
      <c r="E31" s="27" t="n">
        <f aca="false">E30+D31</f>
        <v>404.260847256227</v>
      </c>
      <c r="F31" s="28" t="str">
        <f aca="false">IF(E31&gt;=$C$8,"✓ Amorti","")</f>
        <v/>
      </c>
    </row>
    <row r="32" customFormat="false" ht="18" hidden="false" customHeight="true" outlineLevel="0" collapsed="false">
      <c r="B32" s="29" t="n">
        <v>6</v>
      </c>
      <c r="C32" s="30" t="n">
        <f aca="false">$C$15*(1+$C$16)^(B32-1)</f>
        <v>0.228193535715636</v>
      </c>
      <c r="D32" s="31" t="n">
        <f aca="false">$H$11*C32</f>
        <v>89.0297079594554</v>
      </c>
      <c r="E32" s="31" t="n">
        <f aca="false">E31+D32</f>
        <v>493.290555215682</v>
      </c>
      <c r="F32" s="32" t="str">
        <f aca="false">IF(E32&gt;=$C$8,"✓ Amorti","")</f>
        <v/>
      </c>
    </row>
    <row r="33" customFormat="false" ht="18" hidden="false" customHeight="true" outlineLevel="0" collapsed="false">
      <c r="B33" s="25" t="n">
        <v>7</v>
      </c>
      <c r="C33" s="26" t="n">
        <f aca="false">$C$15*(1+$C$16)^(B33-1)</f>
        <v>0.235723922394252</v>
      </c>
      <c r="D33" s="27" t="n">
        <f aca="false">$H$11*C33</f>
        <v>91.9676883221175</v>
      </c>
      <c r="E33" s="27" t="n">
        <f aca="false">E32+D33</f>
        <v>585.2582435378</v>
      </c>
      <c r="F33" s="28" t="str">
        <f aca="false">IF(E33&gt;=$C$8,"✓ Amorti","")</f>
        <v/>
      </c>
    </row>
    <row r="34" customFormat="false" ht="18" hidden="false" customHeight="true" outlineLevel="0" collapsed="false">
      <c r="B34" s="29" t="n">
        <v>8</v>
      </c>
      <c r="C34" s="30" t="n">
        <f aca="false">$C$15*(1+$C$16)^(B34-1)</f>
        <v>0.243502811833262</v>
      </c>
      <c r="D34" s="31" t="n">
        <f aca="false">$H$11*C34</f>
        <v>95.0026220367473</v>
      </c>
      <c r="E34" s="31" t="n">
        <f aca="false">E33+D34</f>
        <v>680.260865574547</v>
      </c>
      <c r="F34" s="32" t="str">
        <f aca="false">IF(E34&gt;=$C$8,"✓ Amorti","")</f>
        <v>✓ Amorti</v>
      </c>
    </row>
    <row r="35" customFormat="false" ht="18" hidden="false" customHeight="true" outlineLevel="0" collapsed="false">
      <c r="B35" s="25" t="n">
        <v>9</v>
      </c>
      <c r="C35" s="26" t="n">
        <f aca="false">$C$15*(1+$C$16)^(B35-1)</f>
        <v>0.25153840462376</v>
      </c>
      <c r="D35" s="27" t="n">
        <f aca="false">$H$11*C35</f>
        <v>98.13770856396</v>
      </c>
      <c r="E35" s="27" t="n">
        <f aca="false">E34+D35</f>
        <v>778.398574138507</v>
      </c>
      <c r="F35" s="28" t="str">
        <f aca="false">IF(E35&gt;=$C$8,"✓ Amorti","")</f>
        <v>✓ Amorti</v>
      </c>
    </row>
    <row r="36" customFormat="false" ht="18" hidden="false" customHeight="true" outlineLevel="0" collapsed="false">
      <c r="B36" s="29" t="n">
        <v>10</v>
      </c>
      <c r="C36" s="30" t="n">
        <f aca="false">$C$15*(1+$C$16)^(B36-1)</f>
        <v>0.259839171976344</v>
      </c>
      <c r="D36" s="31" t="n">
        <f aca="false">$H$11*C36</f>
        <v>101.376252946571</v>
      </c>
      <c r="E36" s="31" t="n">
        <f aca="false">E35+D36</f>
        <v>879.774827085078</v>
      </c>
      <c r="F36" s="32" t="str">
        <f aca="false">IF(E36&gt;=$C$8,"✓ Amorti","")</f>
        <v>✓ Amorti</v>
      </c>
    </row>
    <row r="37" customFormat="false" ht="18" hidden="false" customHeight="true" outlineLevel="0" collapsed="false">
      <c r="B37" s="25" t="n">
        <v>11</v>
      </c>
      <c r="C37" s="26" t="n">
        <f aca="false">$C$15*(1+$C$16)^(B37-1)</f>
        <v>0.268413864651563</v>
      </c>
      <c r="D37" s="27" t="n">
        <f aca="false">$H$11*C37</f>
        <v>104.721669293807</v>
      </c>
      <c r="E37" s="27" t="n">
        <f aca="false">E36+D37</f>
        <v>984.496496378885</v>
      </c>
      <c r="F37" s="28" t="str">
        <f aca="false">IF(E37&gt;=$C$8,"✓ Amorti","")</f>
        <v>✓ Amorti</v>
      </c>
    </row>
    <row r="38" customFormat="false" ht="18" hidden="false" customHeight="true" outlineLevel="0" collapsed="false">
      <c r="B38" s="29" t="n">
        <v>12</v>
      </c>
      <c r="C38" s="30" t="n">
        <f aca="false">$C$15*(1+$C$16)^(B38-1)</f>
        <v>0.277271522185065</v>
      </c>
      <c r="D38" s="31" t="n">
        <f aca="false">$H$11*C38</f>
        <v>108.177484380503</v>
      </c>
      <c r="E38" s="31" t="n">
        <f aca="false">E37+D38</f>
        <v>1092.67398075939</v>
      </c>
      <c r="F38" s="32" t="str">
        <f aca="false">IF(E38&gt;=$C$8,"✓ Amorti","")</f>
        <v>✓ Amorti</v>
      </c>
    </row>
    <row r="39" customFormat="false" ht="18" hidden="false" customHeight="true" outlineLevel="0" collapsed="false">
      <c r="B39" s="25" t="n">
        <v>13</v>
      </c>
      <c r="C39" s="26" t="n">
        <f aca="false">$C$15*(1+$C$16)^(B39-1)</f>
        <v>0.286421482417172</v>
      </c>
      <c r="D39" s="27" t="n">
        <f aca="false">$H$11*C39</f>
        <v>111.74734136506</v>
      </c>
      <c r="E39" s="27" t="n">
        <f aca="false">E38+D39</f>
        <v>1204.42132212445</v>
      </c>
      <c r="F39" s="28" t="str">
        <f aca="false">IF(E39&gt;=$C$8,"✓ Amorti","")</f>
        <v>✓ Amorti</v>
      </c>
    </row>
    <row r="40" customFormat="false" ht="18" hidden="false" customHeight="true" outlineLevel="0" collapsed="false">
      <c r="B40" s="29" t="n">
        <v>14</v>
      </c>
      <c r="C40" s="30" t="n">
        <f aca="false">$C$15*(1+$C$16)^(B40-1)</f>
        <v>0.295873391336939</v>
      </c>
      <c r="D40" s="31" t="n">
        <f aca="false">$H$11*C40</f>
        <v>115.435003630107</v>
      </c>
      <c r="E40" s="31" t="n">
        <f aca="false">E39+D40</f>
        <v>1319.85632575455</v>
      </c>
      <c r="F40" s="32" t="str">
        <f aca="false">IF(E40&gt;=$C$8,"✓ Amorti","")</f>
        <v>✓ Amorti</v>
      </c>
    </row>
    <row r="41" customFormat="false" ht="18" hidden="false" customHeight="true" outlineLevel="0" collapsed="false">
      <c r="B41" s="25" t="n">
        <v>15</v>
      </c>
      <c r="C41" s="26" t="n">
        <f aca="false">$C$15*(1+$C$16)^(B41-1)</f>
        <v>0.305637213251058</v>
      </c>
      <c r="D41" s="27" t="n">
        <f aca="false">$H$11*C41</f>
        <v>119.2443587499</v>
      </c>
      <c r="E41" s="27" t="n">
        <f aca="false">E40+D41</f>
        <v>1439.10068450445</v>
      </c>
      <c r="F41" s="28" t="str">
        <f aca="false">IF(E41&gt;=$C$8,"✓ Amorti","")</f>
        <v>✓ Amorti</v>
      </c>
    </row>
    <row r="42" customFormat="false" ht="18" hidden="false" customHeight="true" outlineLevel="0" collapsed="false">
      <c r="B42" s="29" t="n">
        <v>16</v>
      </c>
      <c r="C42" s="30" t="n">
        <f aca="false">$C$15*(1+$C$16)^(B42-1)</f>
        <v>0.315723241288343</v>
      </c>
      <c r="D42" s="31" t="n">
        <f aca="false">$H$11*C42</f>
        <v>123.179422588647</v>
      </c>
      <c r="E42" s="31" t="n">
        <f aca="false">E41+D42</f>
        <v>1562.2801070931</v>
      </c>
      <c r="F42" s="32" t="str">
        <f aca="false">IF(E42&gt;=$C$8,"✓ Amorti","")</f>
        <v>✓ Amorti</v>
      </c>
    </row>
    <row r="43" customFormat="false" ht="18" hidden="false" customHeight="true" outlineLevel="0" collapsed="false">
      <c r="B43" s="25" t="n">
        <v>17</v>
      </c>
      <c r="C43" s="26" t="n">
        <f aca="false">$C$15*(1+$C$16)^(B43-1)</f>
        <v>0.326142108250858</v>
      </c>
      <c r="D43" s="27" t="n">
        <f aca="false">$H$11*C43</f>
        <v>127.244343534072</v>
      </c>
      <c r="E43" s="27" t="n">
        <f aca="false">E42+D43</f>
        <v>1689.52445062717</v>
      </c>
      <c r="F43" s="28" t="str">
        <f aca="false">IF(E43&gt;=$C$8,"✓ Amorti","")</f>
        <v>✓ Amorti</v>
      </c>
    </row>
    <row r="44" customFormat="false" ht="18" hidden="false" customHeight="true" outlineLevel="0" collapsed="false">
      <c r="B44" s="29" t="n">
        <v>18</v>
      </c>
      <c r="C44" s="30" t="n">
        <f aca="false">$C$15*(1+$C$16)^(B44-1)</f>
        <v>0.336904797823136</v>
      </c>
      <c r="D44" s="31" t="n">
        <f aca="false">$H$11*C44</f>
        <v>131.443406870697</v>
      </c>
      <c r="E44" s="31" t="n">
        <f aca="false">E43+D44</f>
        <v>1820.96785749787</v>
      </c>
      <c r="F44" s="32" t="str">
        <f aca="false">IF(E44&gt;=$C$8,"✓ Amorti","")</f>
        <v>✓ Amorti</v>
      </c>
    </row>
    <row r="45" customFormat="false" ht="18" hidden="false" customHeight="true" outlineLevel="0" collapsed="false">
      <c r="B45" s="25" t="n">
        <v>19</v>
      </c>
      <c r="C45" s="26" t="n">
        <f aca="false">$C$15*(1+$C$16)^(B45-1)</f>
        <v>0.3480226561513</v>
      </c>
      <c r="D45" s="27" t="n">
        <f aca="false">$H$11*C45</f>
        <v>135.78103929743</v>
      </c>
      <c r="E45" s="27" t="n">
        <f aca="false">E44+D45</f>
        <v>1956.7488967953</v>
      </c>
      <c r="F45" s="28" t="str">
        <f aca="false">IF(E45&gt;=$C$8,"✓ Amorti","")</f>
        <v>✓ Amorti</v>
      </c>
    </row>
    <row r="46" customFormat="false" ht="18" hidden="false" customHeight="true" outlineLevel="0" collapsed="false">
      <c r="B46" s="29" t="n">
        <v>20</v>
      </c>
      <c r="C46" s="30" t="n">
        <f aca="false">$C$15*(1+$C$16)^(B46-1)</f>
        <v>0.359507403804293</v>
      </c>
      <c r="D46" s="31" t="n">
        <f aca="false">$H$11*C46</f>
        <v>140.261813594245</v>
      </c>
      <c r="E46" s="31" t="n">
        <f aca="false">E45+D46</f>
        <v>2097.01071038955</v>
      </c>
      <c r="F46" s="32" t="str">
        <f aca="false">IF(E46&gt;=$C$8,"✓ Amorti","")</f>
        <v>✓ Amorti</v>
      </c>
    </row>
    <row r="47" customFormat="false" ht="18" hidden="false" customHeight="true" outlineLevel="0" collapsed="false">
      <c r="B47" s="25" t="n">
        <v>21</v>
      </c>
      <c r="C47" s="26" t="n">
        <f aca="false">$C$15*(1+$C$16)^(B47-1)</f>
        <v>0.371371148129834</v>
      </c>
      <c r="D47" s="27" t="n">
        <f aca="false">$H$11*C47</f>
        <v>144.890453442855</v>
      </c>
      <c r="E47" s="27" t="n">
        <f aca="false">E46+D47</f>
        <v>2241.9011638324</v>
      </c>
      <c r="F47" s="28" t="str">
        <f aca="false">IF(E47&gt;=$C$8,"✓ Amorti","")</f>
        <v>✓ Amorti</v>
      </c>
    </row>
    <row r="48" customFormat="false" ht="18" hidden="false" customHeight="true" outlineLevel="0" collapsed="false">
      <c r="B48" s="29" t="n">
        <v>22</v>
      </c>
      <c r="C48" s="30" t="n">
        <f aca="false">$C$15*(1+$C$16)^(B48-1)</f>
        <v>0.383626396018119</v>
      </c>
      <c r="D48" s="31" t="n">
        <f aca="false">$H$11*C48</f>
        <v>149.671838406469</v>
      </c>
      <c r="E48" s="31" t="n">
        <f aca="false">E47+D48</f>
        <v>2391.57300223887</v>
      </c>
      <c r="F48" s="32" t="str">
        <f aca="false">IF(E48&gt;=$C$8,"✓ Amorti","")</f>
        <v>✓ Amorti</v>
      </c>
    </row>
    <row r="49" customFormat="false" ht="18" hidden="false" customHeight="true" outlineLevel="0" collapsed="false">
      <c r="B49" s="25" t="n">
        <v>23</v>
      </c>
      <c r="C49" s="26" t="n">
        <f aca="false">$C$15*(1+$C$16)^(B49-1)</f>
        <v>0.396286067086717</v>
      </c>
      <c r="D49" s="27" t="n">
        <f aca="false">$H$11*C49</f>
        <v>154.611009073882</v>
      </c>
      <c r="E49" s="27" t="n">
        <f aca="false">E48+D49</f>
        <v>2546.18401131275</v>
      </c>
      <c r="F49" s="28" t="str">
        <f aca="false">IF(E49&gt;=$C$8,"✓ Amorti","")</f>
        <v>✓ Amorti</v>
      </c>
    </row>
    <row r="50" customFormat="false" ht="18" hidden="false" customHeight="true" outlineLevel="0" collapsed="false">
      <c r="B50" s="29" t="n">
        <v>24</v>
      </c>
      <c r="C50" s="30" t="n">
        <f aca="false">$C$15*(1+$C$16)^(B50-1)</f>
        <v>0.409363507300578</v>
      </c>
      <c r="D50" s="31" t="n">
        <f aca="false">$H$11*C50</f>
        <v>159.713172373321</v>
      </c>
      <c r="E50" s="31" t="n">
        <f aca="false">E49+D50</f>
        <v>2705.89718368607</v>
      </c>
      <c r="F50" s="32" t="str">
        <f aca="false">IF(E50&gt;=$C$8,"✓ Amorti","")</f>
        <v>✓ Amorti</v>
      </c>
    </row>
    <row r="51" customFormat="false" ht="18" hidden="false" customHeight="true" outlineLevel="0" collapsed="false">
      <c r="B51" s="25" t="n">
        <v>25</v>
      </c>
      <c r="C51" s="26" t="n">
        <f aca="false">$C$15*(1+$C$16)^(B51-1)</f>
        <v>0.422872503041497</v>
      </c>
      <c r="D51" s="27" t="n">
        <f aca="false">$H$11*C51</f>
        <v>164.98370706164</v>
      </c>
      <c r="E51" s="27" t="n">
        <f aca="false">E50+D51</f>
        <v>2870.88089074771</v>
      </c>
      <c r="F51" s="28" t="str">
        <f aca="false">IF(E51&gt;=$C$8,"✓ Amorti","")</f>
        <v>✓ Amorti</v>
      </c>
    </row>
  </sheetData>
  <mergeCells count="7">
    <mergeCell ref="B2:H2"/>
    <mergeCell ref="B3:H3"/>
    <mergeCell ref="B4:H4"/>
    <mergeCell ref="B6:D6"/>
    <mergeCell ref="G6:H6"/>
    <mergeCell ref="G18:H18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28"/>
    <col collapsed="false" customWidth="true" hidden="false" outlineLevel="0" max="6" min="6" style="0" width="22"/>
    <col collapsed="false" customWidth="true" hidden="false" outlineLevel="0" max="7" min="7" style="0" width="30"/>
  </cols>
  <sheetData>
    <row r="2" customFormat="false" ht="22.05" hidden="false" customHeight="false" outlineLevel="0" collapsed="false">
      <c r="B2" s="33" t="s">
        <v>41</v>
      </c>
      <c r="C2" s="33"/>
      <c r="D2" s="33"/>
      <c r="E2" s="33"/>
      <c r="F2" s="33"/>
      <c r="G2" s="33"/>
    </row>
    <row r="3" customFormat="false" ht="15" hidden="false" customHeight="false" outlineLevel="0" collapsed="false">
      <c r="B3" s="34" t="s">
        <v>42</v>
      </c>
      <c r="C3" s="34"/>
      <c r="D3" s="34"/>
      <c r="E3" s="34"/>
      <c r="F3" s="34"/>
      <c r="G3" s="34"/>
    </row>
    <row r="5" customFormat="false" ht="25.5" hidden="false" customHeight="true" outlineLevel="0" collapsed="false">
      <c r="B5" s="35" t="s">
        <v>43</v>
      </c>
      <c r="C5" s="35"/>
      <c r="E5" s="35" t="s">
        <v>44</v>
      </c>
      <c r="F5" s="35"/>
    </row>
    <row r="6" customFormat="false" ht="15" hidden="false" customHeight="false" outlineLevel="0" collapsed="false">
      <c r="B6" s="36" t="s">
        <v>45</v>
      </c>
      <c r="C6" s="36" t="s">
        <v>46</v>
      </c>
      <c r="E6" s="36" t="s">
        <v>47</v>
      </c>
      <c r="F6" s="36" t="s">
        <v>48</v>
      </c>
    </row>
    <row r="7" customFormat="false" ht="15" hidden="false" customHeight="false" outlineLevel="0" collapsed="false">
      <c r="B7" s="37" t="s">
        <v>49</v>
      </c>
      <c r="C7" s="38" t="n">
        <v>1450</v>
      </c>
      <c r="E7" s="37" t="s">
        <v>50</v>
      </c>
      <c r="F7" s="39" t="n">
        <v>1</v>
      </c>
    </row>
    <row r="8" customFormat="false" ht="15" hidden="false" customHeight="false" outlineLevel="0" collapsed="false">
      <c r="B8" s="40" t="s">
        <v>51</v>
      </c>
      <c r="C8" s="41" t="n">
        <v>1350</v>
      </c>
      <c r="E8" s="40" t="s">
        <v>52</v>
      </c>
      <c r="F8" s="42" t="n">
        <v>0.95</v>
      </c>
    </row>
    <row r="9" customFormat="false" ht="15" hidden="false" customHeight="false" outlineLevel="0" collapsed="false">
      <c r="B9" s="37" t="s">
        <v>53</v>
      </c>
      <c r="C9" s="38" t="n">
        <v>1380</v>
      </c>
      <c r="E9" s="37" t="s">
        <v>54</v>
      </c>
      <c r="F9" s="39" t="n">
        <v>0.95</v>
      </c>
    </row>
    <row r="10" customFormat="false" ht="15" hidden="false" customHeight="false" outlineLevel="0" collapsed="false">
      <c r="B10" s="40" t="s">
        <v>55</v>
      </c>
      <c r="C10" s="41" t="n">
        <v>1430</v>
      </c>
      <c r="E10" s="40" t="s">
        <v>56</v>
      </c>
      <c r="F10" s="42" t="n">
        <v>0.8</v>
      </c>
    </row>
    <row r="11" customFormat="false" ht="15" hidden="false" customHeight="false" outlineLevel="0" collapsed="false">
      <c r="B11" s="37" t="s">
        <v>57</v>
      </c>
      <c r="C11" s="38" t="n">
        <v>1300</v>
      </c>
      <c r="E11" s="37" t="s">
        <v>58</v>
      </c>
      <c r="F11" s="39" t="n">
        <v>0.8</v>
      </c>
    </row>
    <row r="12" customFormat="false" ht="15" hidden="false" customHeight="false" outlineLevel="0" collapsed="false">
      <c r="B12" s="40" t="s">
        <v>59</v>
      </c>
      <c r="C12" s="41" t="n">
        <v>1200</v>
      </c>
      <c r="E12" s="40" t="s">
        <v>60</v>
      </c>
      <c r="F12" s="42" t="n">
        <v>0.65</v>
      </c>
    </row>
    <row r="13" customFormat="false" ht="15" hidden="false" customHeight="false" outlineLevel="0" collapsed="false">
      <c r="B13" s="37" t="s">
        <v>61</v>
      </c>
      <c r="C13" s="38" t="n">
        <v>1150</v>
      </c>
      <c r="E13" s="37" t="s">
        <v>62</v>
      </c>
      <c r="F13" s="39" t="n">
        <v>0.65</v>
      </c>
    </row>
    <row r="14" customFormat="false" ht="15" hidden="false" customHeight="false" outlineLevel="0" collapsed="false">
      <c r="B14" s="40" t="s">
        <v>63</v>
      </c>
      <c r="C14" s="41" t="n">
        <v>1100</v>
      </c>
      <c r="E14" s="40" t="s">
        <v>64</v>
      </c>
      <c r="F14" s="42" t="n">
        <v>0.5</v>
      </c>
    </row>
    <row r="15" customFormat="false" ht="15" hidden="false" customHeight="false" outlineLevel="0" collapsed="false">
      <c r="B15" s="37" t="s">
        <v>65</v>
      </c>
      <c r="C15" s="38" t="n">
        <v>1100</v>
      </c>
    </row>
    <row r="16" customFormat="false" ht="15" hidden="false" customHeight="false" outlineLevel="0" collapsed="false">
      <c r="B16" s="40" t="s">
        <v>66</v>
      </c>
      <c r="C16" s="41" t="n">
        <v>1050</v>
      </c>
    </row>
    <row r="17" customFormat="false" ht="15" hidden="false" customHeight="false" outlineLevel="0" collapsed="false">
      <c r="B17" s="37" t="s">
        <v>67</v>
      </c>
      <c r="C17" s="38" t="n">
        <v>1050</v>
      </c>
    </row>
    <row r="18" customFormat="false" ht="15" hidden="false" customHeight="false" outlineLevel="0" collapsed="false">
      <c r="B18" s="40" t="s">
        <v>68</v>
      </c>
      <c r="C18" s="41" t="n">
        <v>1000</v>
      </c>
    </row>
    <row r="19" customFormat="false" ht="15" hidden="false" customHeight="false" outlineLevel="0" collapsed="false">
      <c r="B19" s="37" t="s">
        <v>69</v>
      </c>
      <c r="C19" s="38" t="n">
        <v>1020</v>
      </c>
    </row>
    <row r="20" customFormat="false" ht="15" hidden="false" customHeight="false" outlineLevel="0" collapsed="false">
      <c r="B20" s="40" t="s">
        <v>70</v>
      </c>
      <c r="C20" s="41" t="n">
        <v>1080</v>
      </c>
    </row>
    <row r="21" customFormat="false" ht="15" hidden="false" customHeight="false" outlineLevel="0" collapsed="false">
      <c r="B21" s="37" t="s">
        <v>71</v>
      </c>
      <c r="C21" s="38" t="n">
        <v>1180</v>
      </c>
    </row>
    <row r="22" customFormat="false" ht="15" hidden="false" customHeight="false" outlineLevel="0" collapsed="false">
      <c r="B22" s="40" t="s">
        <v>72</v>
      </c>
      <c r="C22" s="41" t="n">
        <v>1150</v>
      </c>
    </row>
    <row r="23" customFormat="false" ht="15" hidden="false" customHeight="false" outlineLevel="0" collapsed="false">
      <c r="B23" s="43" t="s">
        <v>73</v>
      </c>
      <c r="C23" s="43"/>
    </row>
    <row r="25" customFormat="false" ht="25.5" hidden="false" customHeight="true" outlineLevel="0" collapsed="false">
      <c r="B25" s="35" t="s">
        <v>74</v>
      </c>
      <c r="C25" s="35"/>
      <c r="D25" s="35"/>
    </row>
    <row r="26" customFormat="false" ht="15" hidden="false" customHeight="false" outlineLevel="0" collapsed="false">
      <c r="B26" s="36" t="s">
        <v>75</v>
      </c>
      <c r="C26" s="36" t="s">
        <v>76</v>
      </c>
      <c r="D26" s="36" t="s">
        <v>77</v>
      </c>
    </row>
    <row r="27" customFormat="false" ht="15" hidden="false" customHeight="false" outlineLevel="0" collapsed="false">
      <c r="B27" s="37" t="s">
        <v>78</v>
      </c>
      <c r="C27" s="44" t="n">
        <v>0.9</v>
      </c>
      <c r="D27" s="45" t="s">
        <v>79</v>
      </c>
    </row>
    <row r="28" customFormat="false" ht="15" hidden="false" customHeight="false" outlineLevel="0" collapsed="false">
      <c r="B28" s="40" t="s">
        <v>80</v>
      </c>
      <c r="C28" s="46" t="n">
        <v>0.75</v>
      </c>
      <c r="D28" s="47" t="s">
        <v>81</v>
      </c>
    </row>
    <row r="29" customFormat="false" ht="15" hidden="false" customHeight="false" outlineLevel="0" collapsed="false">
      <c r="B29" s="37" t="s">
        <v>82</v>
      </c>
      <c r="C29" s="44" t="n">
        <v>0.55</v>
      </c>
      <c r="D29" s="45" t="s">
        <v>83</v>
      </c>
    </row>
    <row r="30" customFormat="false" ht="15" hidden="false" customHeight="false" outlineLevel="0" collapsed="false">
      <c r="B30" s="40" t="s">
        <v>84</v>
      </c>
      <c r="C30" s="46" t="n">
        <v>0.95</v>
      </c>
      <c r="D30" s="47" t="s">
        <v>85</v>
      </c>
    </row>
    <row r="33" customFormat="false" ht="25.5" hidden="false" customHeight="true" outlineLevel="0" collapsed="false">
      <c r="B33" s="35" t="s">
        <v>86</v>
      </c>
      <c r="C33" s="35"/>
      <c r="D33" s="35"/>
      <c r="E33" s="35"/>
      <c r="F33" s="35"/>
    </row>
    <row r="34" customFormat="false" ht="15" hidden="false" customHeight="false" outlineLevel="0" collapsed="false">
      <c r="B34" s="36" t="s">
        <v>87</v>
      </c>
      <c r="C34" s="36" t="s">
        <v>88</v>
      </c>
      <c r="D34" s="36" t="s">
        <v>89</v>
      </c>
      <c r="E34" s="36" t="s">
        <v>90</v>
      </c>
      <c r="F34" s="36" t="s">
        <v>91</v>
      </c>
    </row>
    <row r="35" customFormat="false" ht="15" hidden="false" customHeight="false" outlineLevel="0" collapsed="false">
      <c r="B35" s="37" t="s">
        <v>92</v>
      </c>
      <c r="C35" s="48" t="n">
        <v>299</v>
      </c>
      <c r="D35" s="49" t="n">
        <v>300</v>
      </c>
      <c r="E35" s="37" t="s">
        <v>93</v>
      </c>
      <c r="F35" s="37" t="s">
        <v>94</v>
      </c>
    </row>
    <row r="36" customFormat="false" ht="15" hidden="false" customHeight="false" outlineLevel="0" collapsed="false">
      <c r="B36" s="40" t="s">
        <v>95</v>
      </c>
      <c r="C36" s="50" t="n">
        <v>599</v>
      </c>
      <c r="D36" s="51" t="n">
        <v>450</v>
      </c>
      <c r="E36" s="40" t="s">
        <v>93</v>
      </c>
      <c r="F36" s="40" t="s">
        <v>96</v>
      </c>
    </row>
    <row r="37" customFormat="false" ht="15" hidden="false" customHeight="false" outlineLevel="0" collapsed="false">
      <c r="B37" s="37" t="s">
        <v>97</v>
      </c>
      <c r="C37" s="48" t="n">
        <v>599</v>
      </c>
      <c r="D37" s="49" t="n">
        <v>460</v>
      </c>
      <c r="E37" s="37" t="s">
        <v>93</v>
      </c>
      <c r="F37" s="37" t="s">
        <v>98</v>
      </c>
    </row>
    <row r="38" customFormat="false" ht="15" hidden="false" customHeight="false" outlineLevel="0" collapsed="false">
      <c r="B38" s="40" t="s">
        <v>99</v>
      </c>
      <c r="C38" s="50" t="n">
        <v>690</v>
      </c>
      <c r="D38" s="51" t="n">
        <v>500</v>
      </c>
      <c r="E38" s="40" t="s">
        <v>93</v>
      </c>
      <c r="F38" s="40" t="s">
        <v>100</v>
      </c>
    </row>
    <row r="39" customFormat="false" ht="15" hidden="false" customHeight="false" outlineLevel="0" collapsed="false">
      <c r="B39" s="37" t="s">
        <v>101</v>
      </c>
      <c r="C39" s="48" t="n">
        <v>1179</v>
      </c>
      <c r="D39" s="49" t="n">
        <v>450</v>
      </c>
      <c r="E39" s="37" t="s">
        <v>102</v>
      </c>
      <c r="F39" s="37" t="s">
        <v>103</v>
      </c>
    </row>
    <row r="40" customFormat="false" ht="15" hidden="false" customHeight="false" outlineLevel="0" collapsed="false">
      <c r="B40" s="40" t="s">
        <v>104</v>
      </c>
      <c r="C40" s="50" t="n">
        <v>900</v>
      </c>
      <c r="D40" s="51" t="n">
        <v>840</v>
      </c>
      <c r="E40" s="40" t="s">
        <v>105</v>
      </c>
      <c r="F40" s="40" t="s">
        <v>106</v>
      </c>
    </row>
    <row r="41" customFormat="false" ht="15" hidden="false" customHeight="false" outlineLevel="0" collapsed="false">
      <c r="B41" s="37" t="s">
        <v>107</v>
      </c>
      <c r="C41" s="48" t="n">
        <v>1500</v>
      </c>
      <c r="D41" s="49" t="n">
        <v>800</v>
      </c>
      <c r="E41" s="37" t="s">
        <v>105</v>
      </c>
      <c r="F41" s="37" t="s">
        <v>108</v>
      </c>
    </row>
    <row r="42" customFormat="false" ht="15" hidden="false" customHeight="false" outlineLevel="0" collapsed="false">
      <c r="B42" s="40" t="s">
        <v>109</v>
      </c>
      <c r="C42" s="50" t="n">
        <v>1500</v>
      </c>
      <c r="D42" s="51" t="n">
        <v>500</v>
      </c>
      <c r="E42" s="40" t="s">
        <v>93</v>
      </c>
      <c r="F42" s="40" t="s">
        <v>110</v>
      </c>
    </row>
  </sheetData>
  <mergeCells count="7">
    <mergeCell ref="B2:G2"/>
    <mergeCell ref="B3:G3"/>
    <mergeCell ref="B5:C5"/>
    <mergeCell ref="E5:F5"/>
    <mergeCell ref="B23:C23"/>
    <mergeCell ref="B25:D25"/>
    <mergeCell ref="B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2" customFormat="false" ht="24.45" hidden="false" customHeight="false" outlineLevel="0" collapsed="false">
      <c r="B2" s="52" t="s">
        <v>111</v>
      </c>
    </row>
    <row r="3" customFormat="false" ht="15" hidden="false" customHeight="false" outlineLevel="0" collapsed="false">
      <c r="B3" s="53" t="s">
        <v>112</v>
      </c>
    </row>
    <row r="6" customFormat="false" ht="27.75" hidden="false" customHeight="true" outlineLevel="0" collapsed="false">
      <c r="B6" s="54" t="s">
        <v>113</v>
      </c>
    </row>
    <row r="7" customFormat="false" ht="21.75" hidden="false" customHeight="true" outlineLevel="0" collapsed="false">
      <c r="B7" s="55" t="s">
        <v>114</v>
      </c>
    </row>
    <row r="8" customFormat="false" ht="21.75" hidden="false" customHeight="true" outlineLevel="0" collapsed="false">
      <c r="B8" s="55" t="s">
        <v>115</v>
      </c>
    </row>
    <row r="9" customFormat="false" ht="21.75" hidden="false" customHeight="true" outlineLevel="0" collapsed="false">
      <c r="B9" s="55" t="s">
        <v>116</v>
      </c>
    </row>
    <row r="11" customFormat="false" ht="27.75" hidden="false" customHeight="true" outlineLevel="0" collapsed="false">
      <c r="B11" s="54" t="s">
        <v>117</v>
      </c>
    </row>
    <row r="12" customFormat="false" ht="21.75" hidden="false" customHeight="true" outlineLevel="0" collapsed="false">
      <c r="B12" s="55" t="s">
        <v>118</v>
      </c>
    </row>
    <row r="13" customFormat="false" ht="21.75" hidden="false" customHeight="true" outlineLevel="0" collapsed="false">
      <c r="B13" s="55" t="s">
        <v>119</v>
      </c>
    </row>
    <row r="14" customFormat="false" ht="21.75" hidden="false" customHeight="true" outlineLevel="0" collapsed="false">
      <c r="B14" s="55" t="s">
        <v>120</v>
      </c>
    </row>
    <row r="16" customFormat="false" ht="27.75" hidden="false" customHeight="true" outlineLevel="0" collapsed="false">
      <c r="B16" s="54" t="s">
        <v>121</v>
      </c>
    </row>
    <row r="17" customFormat="false" ht="21.75" hidden="false" customHeight="true" outlineLevel="0" collapsed="false">
      <c r="B17" s="55" t="s">
        <v>122</v>
      </c>
    </row>
    <row r="18" customFormat="false" ht="21.75" hidden="false" customHeight="true" outlineLevel="0" collapsed="false">
      <c r="B18" s="55" t="s">
        <v>123</v>
      </c>
    </row>
    <row r="19" customFormat="false" ht="21.75" hidden="false" customHeight="true" outlineLevel="0" collapsed="false">
      <c r="B19" s="55" t="s">
        <v>124</v>
      </c>
    </row>
    <row r="20" customFormat="false" ht="21.75" hidden="false" customHeight="true" outlineLevel="0" collapsed="false">
      <c r="B20" s="55" t="s">
        <v>125</v>
      </c>
    </row>
    <row r="22" customFormat="false" ht="27.75" hidden="false" customHeight="true" outlineLevel="0" collapsed="false">
      <c r="B22" s="54" t="s">
        <v>126</v>
      </c>
    </row>
    <row r="23" customFormat="false" ht="21.75" hidden="false" customHeight="true" outlineLevel="0" collapsed="false">
      <c r="B23" s="55" t="s">
        <v>127</v>
      </c>
    </row>
    <row r="24" customFormat="false" ht="21.75" hidden="false" customHeight="true" outlineLevel="0" collapsed="false">
      <c r="B24" s="55" t="s">
        <v>128</v>
      </c>
    </row>
    <row r="25" customFormat="false" ht="21.75" hidden="false" customHeight="true" outlineLevel="0" collapsed="false">
      <c r="B25" s="55" t="s">
        <v>129</v>
      </c>
    </row>
    <row r="27" customFormat="false" ht="27.75" hidden="false" customHeight="true" outlineLevel="0" collapsed="false">
      <c r="B27" s="54" t="s">
        <v>130</v>
      </c>
    </row>
    <row r="28" customFormat="false" ht="21.75" hidden="false" customHeight="true" outlineLevel="0" collapsed="false">
      <c r="B28" s="55" t="s">
        <v>131</v>
      </c>
    </row>
    <row r="29" customFormat="false" ht="21.75" hidden="false" customHeight="true" outlineLevel="0" collapsed="false">
      <c r="B29" s="55" t="s">
        <v>132</v>
      </c>
    </row>
    <row r="30" customFormat="false" ht="21.75" hidden="false" customHeight="true" outlineLevel="0" collapsed="false">
      <c r="B30" s="55" t="s">
        <v>133</v>
      </c>
    </row>
    <row r="31" customFormat="false" ht="21.75" hidden="false" customHeight="true" outlineLevel="0" collapsed="false">
      <c r="B31" s="55" t="s">
        <v>134</v>
      </c>
    </row>
    <row r="33" customFormat="false" ht="27.75" hidden="false" customHeight="true" outlineLevel="0" collapsed="false">
      <c r="B33" s="54" t="s">
        <v>135</v>
      </c>
    </row>
    <row r="34" customFormat="false" ht="21.75" hidden="false" customHeight="true" outlineLevel="0" collapsed="false">
      <c r="B34" s="55" t="s">
        <v>136</v>
      </c>
    </row>
    <row r="35" customFormat="false" ht="21.75" hidden="false" customHeight="true" outlineLevel="0" collapsed="false">
      <c r="B35" s="55" t="s">
        <v>137</v>
      </c>
    </row>
    <row r="36" customFormat="false" ht="21.75" hidden="false" customHeight="true" outlineLevel="0" collapsed="false">
      <c r="B36" s="55" t="s">
        <v>138</v>
      </c>
    </row>
    <row r="37" customFormat="false" ht="21.75" hidden="false" customHeight="true" outlineLevel="0" collapsed="false">
      <c r="B37" s="55" t="s">
        <v>139</v>
      </c>
    </row>
    <row r="39" customFormat="false" ht="27.75" hidden="false" customHeight="true" outlineLevel="0" collapsed="false">
      <c r="B39" s="54" t="s">
        <v>140</v>
      </c>
    </row>
    <row r="40" customFormat="false" ht="21.75" hidden="false" customHeight="true" outlineLevel="0" collapsed="false">
      <c r="B40" s="55" t="s">
        <v>141</v>
      </c>
    </row>
    <row r="41" customFormat="false" ht="21.75" hidden="false" customHeight="true" outlineLevel="0" collapsed="false">
      <c r="B41" s="55" t="s">
        <v>142</v>
      </c>
    </row>
    <row r="42" customFormat="false" ht="21.75" hidden="false" customHeight="true" outlineLevel="0" collapsed="false">
      <c r="B42" s="55" t="s">
        <v>143</v>
      </c>
    </row>
    <row r="43" customFormat="false" ht="21.75" hidden="false" customHeight="true" outlineLevel="0" collapsed="false">
      <c r="B43" s="55" t="s">
        <v>144</v>
      </c>
    </row>
    <row r="44" customFormat="false" ht="21.75" hidden="false" customHeight="true" outlineLevel="0" collapsed="false">
      <c r="B44" s="55" t="s">
        <v>145</v>
      </c>
    </row>
    <row r="46" customFormat="false" ht="27.75" hidden="false" customHeight="true" outlineLevel="0" collapsed="false">
      <c r="B46" s="54" t="s">
        <v>146</v>
      </c>
    </row>
    <row r="47" customFormat="false" ht="21.75" hidden="false" customHeight="true" outlineLevel="0" collapsed="false">
      <c r="B47" s="55" t="s">
        <v>147</v>
      </c>
    </row>
    <row r="48" customFormat="false" ht="21.75" hidden="false" customHeight="true" outlineLevel="0" collapsed="false">
      <c r="B48" s="55" t="s">
        <v>148</v>
      </c>
    </row>
    <row r="49" customFormat="false" ht="21.75" hidden="false" customHeight="true" outlineLevel="0" collapsed="false">
      <c r="B49" s="55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2026-05-18T14:32:46Z</dcterms:created>
  <dc:creator>openpyxl</dc:creator>
  <dc:description/>
  <dc:language>en-US</dc:language>
  <cp:lastModifiedBy/>
  <dcterms:modified xsi:type="dcterms:W3CDTF">2026-05-18T14:32:46Z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